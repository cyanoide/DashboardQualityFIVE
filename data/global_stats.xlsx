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</workbook>
</file>

<file path=xl/sharedStrings.xml><?xml version="1.0" encoding="utf-8"?>
<sst xmlns="http://schemas.openxmlformats.org/spreadsheetml/2006/main" count="38" uniqueCount="28">
  <si>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</si>
  <si>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</si>
  <si>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</si>
  <si>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</si>
  <si>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</si>
  <si>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</si>
  <si>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</si>
  <si>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</si>
  <si>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</si>
  <si>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</si>
  <si>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</si>
  <si>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</si>
  <si>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</si>
  <si>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</si>
  <si>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</si>
  <si>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</si>
  <si>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</si>
  <si>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</si>
  <si>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</si>
  <si>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</si>
  <si>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</si>
  <si>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</si>
  <si>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</si>
  <si>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</si>
  <si>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</si>
  <si>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</si>
  <si>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</si>
  <si>
    <t>Mahamat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</si>
</sst>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0"/>
    </xf>
    <xf borderId="1" fillId="0" fontId="1" numFmtId="164" xfId="0" applyAlignment="1" applyBorder="1" applyFont="1" applyNumberForma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0" max="10" width="14.63"/>
    <col customWidth="1" min="12" max="12" width="13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5.75" customHeight="1">
      <c r="A2" s="3" t="s">
        <v>14</v>
      </c>
      <c r="B2" s="4">
        <f>IFERROR(__xludf.DUMMYFUNCTION("QUERY(IMPORTRANGE(""1VF259H18U7gWcFqLPk9T1ETvtyPzZJvqcyJZchpB9MY"", ""Feuil1!B:B""), ""SELECT COUNT(Col1) WHERE Col1 = '"" &amp; TRIM(A2) &amp; ""' LABEL COUNT(Col1) ''"")"),7.0)</f>
        <v>7</v>
      </c>
      <c r="C2" s="4">
        <v>5.0</v>
      </c>
      <c r="D2" s="5">
        <f t="shared" ref="D2:D5" si="1">(C2+E2/2)/B2</f>
        <v>0.7857142857</v>
      </c>
      <c r="E2" s="6">
        <v>1.0</v>
      </c>
      <c r="F2" s="4">
        <f>IFERROR(__xludf.DUMMYFUNCTION("SUM(QUERY(IMPORTRANGE(""1VF259H18U7gWcFqLPk9T1ETvtyPzZJvqcyJZchpB9MY"", ""Feuil1!B:C""), ""SELECT Col2 WHERE Col1 = '"" &amp; A2 &amp; ""'""))"),14.0)</f>
        <v>14</v>
      </c>
      <c r="G2" s="6">
        <f t="shared" ref="G2:G5" si="2">F2/B2</f>
        <v>2</v>
      </c>
      <c r="H2" s="4">
        <f>IFERROR(__xludf.DUMMYFUNCTION("SUM(QUERY(IMPORTRANGE(""1VF259H18U7gWcFqLPk9T1ETvtyPzZJvqcyJZchpB9MY"", ""Feuil1!B:D""), ""SELECT Col3 WHERE Col1 = '"" &amp; A2 &amp; ""'""))"),13.0)</f>
        <v>13</v>
      </c>
      <c r="I2" s="7">
        <f t="shared" ref="I2:I5" si="3">H2/B2</f>
        <v>1.857142857</v>
      </c>
      <c r="J2" s="8">
        <f t="shared" ref="J2:J5" si="4">1/((F2+H2)/(60*B2))</f>
        <v>15.55555556</v>
      </c>
      <c r="K2" s="4">
        <f>IFERROR(__xludf.DUMMYFUNCTION("SUM(QUERY(IMPORTRANGE(""1VF259H18U7gWcFqLPk9T1ETvtyPzZJvqcyJZchpB9MY"", ""Feuil1!B:E""), ""SELECT Col4 WHERE Col1 = '"" &amp; A2 &amp; ""'""))"),4.0)</f>
        <v>4</v>
      </c>
      <c r="L2" s="4">
        <f>IFERROR(__xludf.DUMMYFUNCTION("SUM(QUERY(IMPORTRANGE(""1VF259H18U7gWcFqLPk9T1ETvtyPzZJvqcyJZchpB9MY"", ""Feuil1!B:F""), ""SELECT Col5 WHERE Col1 = '"" &amp; A2 &amp; ""'""))"),5.0)</f>
        <v>5</v>
      </c>
      <c r="M2" s="3"/>
      <c r="N2" s="3"/>
    </row>
    <row r="3" ht="15.75" customHeight="1">
      <c r="A3" s="3" t="s">
        <v>15</v>
      </c>
      <c r="B3" s="4">
        <f>IFERROR(__xludf.DUMMYFUNCTION("QUERY(IMPORTRANGE(""1VF259H18U7gWcFqLPk9T1ETvtyPzZJvqcyJZchpB9MY"", ""Feuil1!B:B""), ""SELECT COUNT(Col1) WHERE Col1 = '"" &amp; TRIM(A3) &amp; ""' LABEL COUNT(Col1) ''"")"),12.0)</f>
        <v>12</v>
      </c>
      <c r="C3" s="6">
        <v>7.0</v>
      </c>
      <c r="D3" s="5">
        <f t="shared" si="1"/>
        <v>0.625</v>
      </c>
      <c r="E3" s="6">
        <v>1.0</v>
      </c>
      <c r="F3" s="4">
        <f>IFERROR(__xludf.DUMMYFUNCTION("SUM(QUERY(IMPORTRANGE(""1VF259H18U7gWcFqLPk9T1ETvtyPzZJvqcyJZchpB9MY"", ""Feuil1!B:C""), ""SELECT Col2 WHERE Col1 = '"" &amp; A3 &amp; ""'""))"),21.0)</f>
        <v>21</v>
      </c>
      <c r="G3" s="6">
        <f t="shared" si="2"/>
        <v>1.75</v>
      </c>
      <c r="H3" s="4">
        <f>IFERROR(__xludf.DUMMYFUNCTION("SUM(QUERY(IMPORTRANGE(""1VF259H18U7gWcFqLPk9T1ETvtyPzZJvqcyJZchpB9MY"", ""Feuil1!B:D""), ""SELECT Col3 WHERE Col1 = '"" &amp; A3 &amp; ""'""))"),12.0)</f>
        <v>12</v>
      </c>
      <c r="I3" s="7">
        <f t="shared" si="3"/>
        <v>1</v>
      </c>
      <c r="J3" s="8">
        <f t="shared" si="4"/>
        <v>21.81818182</v>
      </c>
      <c r="K3" s="4">
        <f>IFERROR(__xludf.DUMMYFUNCTION("SUM(QUERY(IMPORTRANGE(""1VF259H18U7gWcFqLPk9T1ETvtyPzZJvqcyJZchpB9MY"", ""Feuil1!B:E""), ""SELECT Col4 WHERE Col1 = '"" &amp; A3 &amp; ""'""))"),7.0)</f>
        <v>7</v>
      </c>
      <c r="L3" s="4">
        <f>IFERROR(__xludf.DUMMYFUNCTION("SUM(QUERY(IMPORTRANGE(""1VF259H18U7gWcFqLPk9T1ETvtyPzZJvqcyJZchpB9MY"", ""Feuil1!B:F""), ""SELECT Col5 WHERE Col1 = '"" &amp; A3 &amp; ""'""))"),5.0)</f>
        <v>5</v>
      </c>
      <c r="M3" s="3"/>
      <c r="N3" s="3"/>
    </row>
    <row r="4" ht="15.75" customHeight="1">
      <c r="A4" s="3" t="s">
        <v>16</v>
      </c>
      <c r="B4" s="4">
        <f>IFERROR(__xludf.DUMMYFUNCTION("QUERY(IMPORTRANGE(""1VF259H18U7gWcFqLPk9T1ETvtyPzZJvqcyJZchpB9MY"", ""Feuil1!B:B""), ""SELECT COUNT(Col1) WHERE Col1 = '"" &amp; TRIM(A4) &amp; ""' LABEL COUNT(Col1) ''"")"),4.0)</f>
        <v>4</v>
      </c>
      <c r="C4" s="6">
        <v>1.0</v>
      </c>
      <c r="D4" s="5">
        <f t="shared" si="1"/>
        <v>0.25</v>
      </c>
      <c r="E4" s="6">
        <v>0.0</v>
      </c>
      <c r="F4" s="4">
        <f>IFERROR(__xludf.DUMMYFUNCTION("SUM(QUERY(IMPORTRANGE(""1VF259H18U7gWcFqLPk9T1ETvtyPzZJvqcyJZchpB9MY"", ""Feuil1!B:C""), ""SELECT Col2 WHERE Col1 = '"" &amp; A4 &amp; ""'""))"),11.0)</f>
        <v>11</v>
      </c>
      <c r="G4" s="6">
        <f t="shared" si="2"/>
        <v>2.75</v>
      </c>
      <c r="H4" s="4">
        <f>IFERROR(__xludf.DUMMYFUNCTION("SUM(QUERY(IMPORTRANGE(""1VF259H18U7gWcFqLPk9T1ETvtyPzZJvqcyJZchpB9MY"", ""Feuil1!B:D""), ""SELECT Col3 WHERE Col1 = '"" &amp; A4 &amp; ""'""))"),2.0)</f>
        <v>2</v>
      </c>
      <c r="I4" s="7">
        <f t="shared" si="3"/>
        <v>0.5</v>
      </c>
      <c r="J4" s="8">
        <f t="shared" si="4"/>
        <v>18.46153846</v>
      </c>
      <c r="K4" s="4">
        <f>IFERROR(__xludf.DUMMYFUNCTION("SUM(QUERY(IMPORTRANGE(""1VF259H18U7gWcFqLPk9T1ETvtyPzZJvqcyJZchpB9MY"", ""Feuil1!B:E""), ""SELECT Col4 WHERE Col1 = '"" &amp; A4 &amp; ""'""))"),0.0)</f>
        <v>0</v>
      </c>
      <c r="L4" s="4">
        <f>IFERROR(__xludf.DUMMYFUNCTION("SUM(QUERY(IMPORTRANGE(""1VF259H18U7gWcFqLPk9T1ETvtyPzZJvqcyJZchpB9MY"", ""Feuil1!B:F""), ""SELECT Col5 WHERE Col1 = '"" &amp; A4 &amp; ""'""))"),0.0)</f>
        <v>0</v>
      </c>
      <c r="M4" s="3"/>
      <c r="N4" s="3"/>
    </row>
    <row r="5" ht="15.75" customHeight="1">
      <c r="A5" s="3" t="s">
        <v>17</v>
      </c>
      <c r="B5" s="4">
        <f>IFERROR(__xludf.DUMMYFUNCTION("QUERY(IMPORTRANGE(""1VF259H18U7gWcFqLPk9T1ETvtyPzZJvqcyJZchpB9MY"", ""Feuil1!B:B""), ""SELECT COUNT(Col1) WHERE Col1 = '"" &amp; TRIM(A5) &amp; ""' LABEL COUNT(Col1) ''"")"),5.0)</f>
        <v>5</v>
      </c>
      <c r="C5" s="6">
        <v>1.0</v>
      </c>
      <c r="D5" s="5">
        <f t="shared" si="1"/>
        <v>0.2</v>
      </c>
      <c r="E5" s="6">
        <v>0.0</v>
      </c>
      <c r="F5" s="4">
        <f>IFERROR(__xludf.DUMMYFUNCTION("SUM(QUERY(IMPORTRANGE(""1VF259H18U7gWcFqLPk9T1ETvtyPzZJvqcyJZchpB9MY"", ""Feuil1!B:C""), ""SELECT Col2 WHERE Col1 = '"" &amp; A5 &amp; ""'""))"),3.0)</f>
        <v>3</v>
      </c>
      <c r="G5" s="6">
        <f t="shared" si="2"/>
        <v>0.6</v>
      </c>
      <c r="H5" s="4">
        <f>IFERROR(__xludf.DUMMYFUNCTION("SUM(QUERY(IMPORTRANGE(""1VF259H18U7gWcFqLPk9T1ETvtyPzZJvqcyJZchpB9MY"", ""Feuil1!B:D""), ""SELECT Col3 WHERE Col1 = '"" &amp; A5 &amp; ""'""))"),5.0)</f>
        <v>5</v>
      </c>
      <c r="I5" s="7">
        <f t="shared" si="3"/>
        <v>1</v>
      </c>
      <c r="J5" s="8">
        <f t="shared" si="4"/>
        <v>37.5</v>
      </c>
      <c r="K5" s="4">
        <f>IFERROR(__xludf.DUMMYFUNCTION("SUM(QUERY(IMPORTRANGE(""1VF259H18U7gWcFqLPk9T1ETvtyPzZJvqcyJZchpB9MY"", ""Feuil1!B:E""), ""SELECT Col4 WHERE Col1 = '"" &amp; A5 &amp; ""'""))"),0.0)</f>
        <v>0</v>
      </c>
      <c r="L5" s="4">
        <f>IFERROR(__xludf.DUMMYFUNCTION("SUM(QUERY(IMPORTRANGE(""1VF259H18U7gWcFqLPk9T1ETvtyPzZJvqcyJZchpB9MY"", ""Feuil1!B:F""), ""SELECT Col5 WHERE Col1 = '"" &amp; A5 &amp; ""'""))"),2.0)</f>
        <v>2</v>
      </c>
      <c r="M5" s="3"/>
      <c r="N5" s="3"/>
    </row>
    <row r="6" ht="15.75" customHeight="1">
      <c r="A6" s="3" t="s">
        <v>18</v>
      </c>
      <c r="B6" s="4">
        <v>0.0</v>
      </c>
      <c r="C6" s="3" t="s">
        <v>19</v>
      </c>
      <c r="D6" s="9" t="s">
        <v>20</v>
      </c>
      <c r="E6" s="6">
        <v>0.0</v>
      </c>
      <c r="F6" s="4">
        <f>IFERROR(__xludf.DUMMYFUNCTION("SUM(QUERY(IMPORTRANGE(""1VF259H18U7gWcFqLPk9T1ETvtyPzZJvqcyJZchpB9MY"", ""Feuil1!B:C""), ""SELECT Col2 WHERE Col1 = '"" &amp; A6 &amp; ""'""))"),0.0)</f>
        <v>0</v>
      </c>
      <c r="G6" s="6">
        <v>0.0</v>
      </c>
      <c r="H6" s="4">
        <f>IFERROR(__xludf.DUMMYFUNCTION("SUM(QUERY(IMPORTRANGE(""1VF259H18U7gWcFqLPk9T1ETvtyPzZJvqcyJZchpB9MY"", ""Feuil1!B:D""), ""SELECT Col3 WHERE Col1 = '"" &amp; A6 &amp; ""'""))"),0.0)</f>
        <v>0</v>
      </c>
      <c r="I6" s="7">
        <v>0.0</v>
      </c>
      <c r="J6" s="8">
        <v>0.0</v>
      </c>
      <c r="K6" s="4">
        <f>IFERROR(__xludf.DUMMYFUNCTION("SUM(QUERY(IMPORTRANGE(""1VF259H18U7gWcFqLPk9T1ETvtyPzZJvqcyJZchpB9MY"", ""Feuil1!B:E""), ""SELECT Col4 WHERE Col1 = '"" &amp; A6 &amp; ""'""))"),0.0)</f>
        <v>0</v>
      </c>
      <c r="L6" s="4">
        <f>IFERROR(__xludf.DUMMYFUNCTION("SUM(QUERY(IMPORTRANGE(""1VF259H18U7gWcFqLPk9T1ETvtyPzZJvqcyJZchpB9MY"", ""Feuil1!B:F""), ""SELECT Col5 WHERE Col1 = '"" &amp; A6 &amp; ""'""))"),0.0)</f>
        <v>0</v>
      </c>
      <c r="M6" s="3"/>
      <c r="N6" s="3"/>
    </row>
    <row r="7" ht="15.75" customHeight="1">
      <c r="A7" s="3" t="s">
        <v>21</v>
      </c>
      <c r="B7" s="4">
        <f>IFERROR(__xludf.DUMMYFUNCTION("QUERY(IMPORTRANGE(""1VF259H18U7gWcFqLPk9T1ETvtyPzZJvqcyJZchpB9MY"", ""Feuil1!B:B""), ""SELECT COUNT(Col1) WHERE Col1 = '"" &amp; TRIM(A7) &amp; ""' LABEL COUNT(Col1) ''"")"),5.0)</f>
        <v>5</v>
      </c>
      <c r="C7" s="4">
        <v>3.0</v>
      </c>
      <c r="D7" s="5">
        <f>(C7+E7/2)/B7</f>
        <v>0.6</v>
      </c>
      <c r="E7" s="6">
        <v>0.0</v>
      </c>
      <c r="F7" s="4">
        <f>IFERROR(__xludf.DUMMYFUNCTION("SUM(QUERY(IMPORTRANGE(""1VF259H18U7gWcFqLPk9T1ETvtyPzZJvqcyJZchpB9MY"", ""Feuil1!B:C""), ""SELECT Col2 WHERE Col1 = '"" &amp; A7 &amp; ""'""))"),7.0)</f>
        <v>7</v>
      </c>
      <c r="G7" s="6">
        <f>F7/B7</f>
        <v>1.4</v>
      </c>
      <c r="H7" s="4">
        <f>IFERROR(__xludf.DUMMYFUNCTION("SUM(QUERY(IMPORTRANGE(""1VF259H18U7gWcFqLPk9T1ETvtyPzZJvqcyJZchpB9MY"", ""Feuil1!B:D""), ""SELECT Col3 WHERE Col1 = '"" &amp; A7 &amp; ""'""))"),1.0)</f>
        <v>1</v>
      </c>
      <c r="I7" s="7">
        <f>H7/B7</f>
        <v>0.2</v>
      </c>
      <c r="J7" s="8">
        <f>1/((F7+H7)/(60*B7))</f>
        <v>37.5</v>
      </c>
      <c r="K7" s="4">
        <f>IFERROR(__xludf.DUMMYFUNCTION("SUM(QUERY(IMPORTRANGE(""1VF259H18U7gWcFqLPk9T1ETvtyPzZJvqcyJZchpB9MY"", ""Feuil1!B:E""), ""SELECT Col4 WHERE Col1 = '"" &amp; A7 &amp; ""'""))"),3.0)</f>
        <v>3</v>
      </c>
      <c r="L7" s="4">
        <f>IFERROR(__xludf.DUMMYFUNCTION("SUM(QUERY(IMPORTRANGE(""1VF259H18U7gWcFqLPk9T1ETvtyPzZJvqcyJZchpB9MY"", ""Feuil1!B:F""), ""SELECT Col5 WHERE Col1 = '"" &amp; A7 &amp; ""'""))"),0.0)</f>
        <v>0</v>
      </c>
      <c r="M7" s="3"/>
      <c r="N7" s="3"/>
    </row>
    <row r="8" ht="15.75" customHeight="1">
      <c r="A8" s="3" t="s">
        <v>22</v>
      </c>
      <c r="B8" s="4">
        <v>0.0</v>
      </c>
      <c r="C8" s="3" t="s">
        <v>19</v>
      </c>
      <c r="D8" s="9" t="s">
        <v>20</v>
      </c>
      <c r="E8" s="6">
        <v>0.0</v>
      </c>
      <c r="F8" s="4">
        <f>IFERROR(__xludf.DUMMYFUNCTION("SUM(QUERY(IMPORTRANGE(""1VF259H18U7gWcFqLPk9T1ETvtyPzZJvqcyJZchpB9MY"", ""Feuil1!B:C""), ""SELECT Col2 WHERE Col1 = '"" &amp; A8 &amp; ""'""))"),0.0)</f>
        <v>0</v>
      </c>
      <c r="G8" s="6">
        <v>0.0</v>
      </c>
      <c r="H8" s="4">
        <f>IFERROR(__xludf.DUMMYFUNCTION("SUM(QUERY(IMPORTRANGE(""1VF259H18U7gWcFqLPk9T1ETvtyPzZJvqcyJZchpB9MY"", ""Feuil1!B:D""), ""SELECT Col3 WHERE Col1 = '"" &amp; A8 &amp; ""'""))"),0.0)</f>
        <v>0</v>
      </c>
      <c r="I8" s="7">
        <v>0.0</v>
      </c>
      <c r="J8" s="8">
        <v>0.0</v>
      </c>
      <c r="K8" s="4">
        <f>IFERROR(__xludf.DUMMYFUNCTION("SUM(QUERY(IMPORTRANGE(""1VF259H18U7gWcFqLPk9T1ETvtyPzZJvqcyJZchpB9MY"", ""Feuil1!B:E""), ""SELECT Col4 WHERE Col1 = '"" &amp; A8 &amp; ""'""))"),0.0)</f>
        <v>0</v>
      </c>
      <c r="L8" s="4">
        <f>IFERROR(__xludf.DUMMYFUNCTION("SUM(QUERY(IMPORTRANGE(""1VF259H18U7gWcFqLPk9T1ETvtyPzZJvqcyJZchpB9MY"", ""Feuil1!B:F""), ""SELECT Col5 WHERE Col1 = '"" &amp; A8 &amp; ""'""))"),0.0)</f>
        <v>0</v>
      </c>
      <c r="M8" s="3"/>
      <c r="N8" s="3"/>
    </row>
    <row r="9" ht="15.75" customHeight="1">
      <c r="A9" s="3" t="s">
        <v>23</v>
      </c>
      <c r="B9" s="4">
        <v>0.0</v>
      </c>
      <c r="C9" s="3" t="s">
        <v>19</v>
      </c>
      <c r="D9" s="9" t="s">
        <v>20</v>
      </c>
      <c r="E9" s="6">
        <v>0.0</v>
      </c>
      <c r="F9" s="4">
        <f>IFERROR(__xludf.DUMMYFUNCTION("SUM(QUERY(IMPORTRANGE(""1VF259H18U7gWcFqLPk9T1ETvtyPzZJvqcyJZchpB9MY"", ""Feuil1!B:C""), ""SELECT Col2 WHERE Col1 = '"" &amp; A9 &amp; ""'""))"),0.0)</f>
        <v>0</v>
      </c>
      <c r="G9" s="6">
        <v>0.0</v>
      </c>
      <c r="H9" s="4">
        <f>IFERROR(__xludf.DUMMYFUNCTION("SUM(QUERY(IMPORTRANGE(""1VF259H18U7gWcFqLPk9T1ETvtyPzZJvqcyJZchpB9MY"", ""Feuil1!B:D""), ""SELECT Col3 WHERE Col1 = '"" &amp; A9 &amp; ""'""))"),0.0)</f>
        <v>0</v>
      </c>
      <c r="I9" s="7">
        <v>0.0</v>
      </c>
      <c r="J9" s="8">
        <v>0.0</v>
      </c>
      <c r="K9" s="4">
        <f>IFERROR(__xludf.DUMMYFUNCTION("SUM(QUERY(IMPORTRANGE(""1VF259H18U7gWcFqLPk9T1ETvtyPzZJvqcyJZchpB9MY"", ""Feuil1!B:E""), ""SELECT Col4 WHERE Col1 = '"" &amp; A9 &amp; ""'""))"),0.0)</f>
        <v>0</v>
      </c>
      <c r="L9" s="4">
        <f>IFERROR(__xludf.DUMMYFUNCTION("SUM(QUERY(IMPORTRANGE(""1VF259H18U7gWcFqLPk9T1ETvtyPzZJvqcyJZchpB9MY"", ""Feuil1!B:F""), ""SELECT Col5 WHERE Col1 = '"" &amp; A9 &amp; ""'""))"),0.0)</f>
        <v>0</v>
      </c>
      <c r="M9" s="3"/>
      <c r="N9" s="3"/>
    </row>
    <row r="10" ht="15.75" customHeight="1">
      <c r="A10" s="3" t="s">
        <v>24</v>
      </c>
      <c r="B10" s="4">
        <v>0.0</v>
      </c>
      <c r="C10" s="3" t="s">
        <v>19</v>
      </c>
      <c r="D10" s="9" t="s">
        <v>20</v>
      </c>
      <c r="E10" s="6">
        <v>0.0</v>
      </c>
      <c r="F10" s="4">
        <f>IFERROR(__xludf.DUMMYFUNCTION("SUM(QUERY(IMPORTRANGE(""1VF259H18U7gWcFqLPk9T1ETvtyPzZJvqcyJZchpB9MY"", ""Feuil1!B:C""), ""SELECT Col2 WHERE Col1 = '"" &amp; A10 &amp; ""'""))"),0.0)</f>
        <v>0</v>
      </c>
      <c r="G10" s="6">
        <v>0.0</v>
      </c>
      <c r="H10" s="4">
        <f>IFERROR(__xludf.DUMMYFUNCTION("SUM(QUERY(IMPORTRANGE(""1VF259H18U7gWcFqLPk9T1ETvtyPzZJvqcyJZchpB9MY"", ""Feuil1!B:D""), ""SELECT Col3 WHERE Col1 = '"" &amp; A10 &amp; ""'""))"),0.0)</f>
        <v>0</v>
      </c>
      <c r="I10" s="7">
        <v>0.0</v>
      </c>
      <c r="J10" s="8">
        <v>0.0</v>
      </c>
      <c r="K10" s="4">
        <f>IFERROR(__xludf.DUMMYFUNCTION("SUM(QUERY(IMPORTRANGE(""1VF259H18U7gWcFqLPk9T1ETvtyPzZJvqcyJZchpB9MY"", ""Feuil1!B:E""), ""SELECT Col4 WHERE Col1 = '"" &amp; A10 &amp; ""'""))"),0.0)</f>
        <v>0</v>
      </c>
      <c r="L10" s="4">
        <f>IFERROR(__xludf.DUMMYFUNCTION("SUM(QUERY(IMPORTRANGE(""1VF259H18U7gWcFqLPk9T1ETvtyPzZJvqcyJZchpB9MY"", ""Feuil1!B:F""), ""SELECT Col5 WHERE Col1 = '"" &amp; A10 &amp; ""'""))"),0.0)</f>
        <v>0</v>
      </c>
      <c r="M10" s="3"/>
      <c r="N10" s="3"/>
    </row>
    <row r="11" ht="15.75" customHeight="1">
      <c r="A11" s="3" t="s">
        <v>25</v>
      </c>
      <c r="B11" s="4">
        <v>0.0</v>
      </c>
      <c r="C11" s="3" t="s">
        <v>19</v>
      </c>
      <c r="D11" s="9" t="s">
        <v>20</v>
      </c>
      <c r="E11" s="6">
        <v>0.0</v>
      </c>
      <c r="F11" s="4">
        <f>IFERROR(__xludf.DUMMYFUNCTION("SUM(QUERY(IMPORTRANGE(""1VF259H18U7gWcFqLPk9T1ETvtyPzZJvqcyJZchpB9MY"", ""Feuil1!B:C""), ""SELECT Col2 WHERE Col1 = '"" &amp; A11 &amp; ""'""))"),0.0)</f>
        <v>0</v>
      </c>
      <c r="G11" s="6">
        <v>0.0</v>
      </c>
      <c r="H11" s="4">
        <f>IFERROR(__xludf.DUMMYFUNCTION("SUM(QUERY(IMPORTRANGE(""1VF259H18U7gWcFqLPk9T1ETvtyPzZJvqcyJZchpB9MY"", ""Feuil1!B:D""), ""SELECT Col3 WHERE Col1 = '"" &amp; A11 &amp; ""'""))"),0.0)</f>
        <v>0</v>
      </c>
      <c r="I11" s="7">
        <v>0.0</v>
      </c>
      <c r="J11" s="8">
        <v>0.0</v>
      </c>
      <c r="K11" s="4">
        <f>IFERROR(__xludf.DUMMYFUNCTION("SUM(QUERY(IMPORTRANGE(""1VF259H18U7gWcFqLPk9T1ETvtyPzZJvqcyJZchpB9MY"", ""Feuil1!B:E""), ""SELECT Col4 WHERE Col1 = '"" &amp; A11 &amp; ""'""))"),0.0)</f>
        <v>0</v>
      </c>
      <c r="L11" s="4">
        <f>IFERROR(__xludf.DUMMYFUNCTION("SUM(QUERY(IMPORTRANGE(""1VF259H18U7gWcFqLPk9T1ETvtyPzZJvqcyJZchpB9MY"", ""Feuil1!B:F""), ""SELECT Col5 WHERE Col1 = '"" &amp; A11 &amp; ""'""))"),0.0)</f>
        <v>0</v>
      </c>
      <c r="M11" s="3"/>
      <c r="N11" s="3"/>
    </row>
    <row r="12" ht="15.75" customHeight="1">
      <c r="A12" s="3" t="s">
        <v>26</v>
      </c>
      <c r="B12" s="4">
        <v>0.0</v>
      </c>
      <c r="C12" s="3" t="s">
        <v>19</v>
      </c>
      <c r="D12" s="9" t="s">
        <v>20</v>
      </c>
      <c r="E12" s="6">
        <v>0.0</v>
      </c>
      <c r="F12" s="4">
        <f>IFERROR(__xludf.DUMMYFUNCTION("SUM(QUERY(IMPORTRANGE(""1VF259H18U7gWcFqLPk9T1ETvtyPzZJvqcyJZchpB9MY"", ""Feuil1!B:C""), ""SELECT Col2 WHERE Col1 = '"" &amp; A12 &amp; ""'""))"),0.0)</f>
        <v>0</v>
      </c>
      <c r="G12" s="6">
        <v>0.0</v>
      </c>
      <c r="H12" s="4">
        <f>IFERROR(__xludf.DUMMYFUNCTION("SUM(QUERY(IMPORTRANGE(""1VF259H18U7gWcFqLPk9T1ETvtyPzZJvqcyJZchpB9MY"", ""Feuil1!B:D""), ""SELECT Col3 WHERE Col1 = '"" &amp; A12 &amp; ""'""))"),0.0)</f>
        <v>0</v>
      </c>
      <c r="I12" s="7">
        <v>0.0</v>
      </c>
      <c r="J12" s="8">
        <v>0.0</v>
      </c>
      <c r="K12" s="4">
        <f>IFERROR(__xludf.DUMMYFUNCTION("SUM(QUERY(IMPORTRANGE(""1VF259H18U7gWcFqLPk9T1ETvtyPzZJvqcyJZchpB9MY"", ""Feuil1!B:E""), ""SELECT Col4 WHERE Col1 = '"" &amp; A12 &amp; ""'""))"),0.0)</f>
        <v>0</v>
      </c>
      <c r="L12" s="4">
        <f>IFERROR(__xludf.DUMMYFUNCTION("SUM(QUERY(IMPORTRANGE(""1VF259H18U7gWcFqLPk9T1ETvtyPzZJvqcyJZchpB9MY"", ""Feuil1!B:F""), ""SELECT Col5 WHERE Col1 = '"" &amp; A12 &amp; ""'""))"),0.0)</f>
        <v>0</v>
      </c>
      <c r="M12" s="3"/>
      <c r="N12" s="3"/>
    </row>
    <row r="13" ht="15.75" customHeight="1">
      <c r="A13" s="3" t="s">
        <v>27</v>
      </c>
      <c r="B13" s="4">
        <f>IFERROR(__xludf.DUMMYFUNCTION("QUERY(IMPORTRANGE(""1VF259H18U7gWcFqLPk9T1ETvtyPzZJvqcyJZchpB9MY"", ""Feuil1!B:B""), ""SELECT COUNT(Col1) WHERE Col1 = '"" &amp; TRIM(A13) &amp; ""' LABEL COUNT(Col1) ''"")"),1.0)</f>
        <v>1</v>
      </c>
      <c r="C13" s="6">
        <v>1.0</v>
      </c>
      <c r="D13" s="5">
        <f>(C13+E13/2)/B13</f>
        <v>1</v>
      </c>
      <c r="E13" s="6">
        <v>0.0</v>
      </c>
      <c r="F13" s="4">
        <f>IFERROR(__xludf.DUMMYFUNCTION("SUM(QUERY(IMPORTRANGE(""1VF259H18U7gWcFqLPk9T1ETvtyPzZJvqcyJZchpB9MY"", ""Feuil1!B:C""), ""SELECT Col2 WHERE Col1 = '"" &amp; A13 &amp; ""'""))"),3.0)</f>
        <v>3</v>
      </c>
      <c r="G13" s="6">
        <f>F13/B13</f>
        <v>3</v>
      </c>
      <c r="H13" s="4">
        <f>IFERROR(__xludf.DUMMYFUNCTION("SUM(QUERY(IMPORTRANGE(""1VF259H18U7gWcFqLPk9T1ETvtyPzZJvqcyJZchpB9MY"", ""Feuil1!B:D""), ""SELECT Col3 WHERE Col1 = '"" &amp; A13 &amp; ""'""))"),1.0)</f>
        <v>1</v>
      </c>
      <c r="I13" s="7">
        <f>H13/B13</f>
        <v>1</v>
      </c>
      <c r="J13" s="8">
        <f>1/((F13+H13)/(60*B13))</f>
        <v>15</v>
      </c>
      <c r="K13" s="4">
        <f>IFERROR(__xludf.DUMMYFUNCTION("SUM(QUERY(IMPORTRANGE(""1VF259H18U7gWcFqLPk9T1ETvtyPzZJvqcyJZchpB9MY"", ""Feuil1!B:E""), ""SELECT Col4 WHERE Col1 = '"" &amp; A13 &amp; ""'""))"),0.0)</f>
        <v>0</v>
      </c>
      <c r="L13" s="4">
        <f>IFERROR(__xludf.DUMMYFUNCTION("SUM(QUERY(IMPORTRANGE(""1VF259H18U7gWcFqLPk9T1ETvtyPzZJvqcyJZchpB9MY"", ""Feuil1!B:F""), ""SELECT Col5 WHERE Col1 = '"" &amp; A13 &amp; ""'""))"),0.0)</f>
        <v>0</v>
      </c>
      <c r="M13" s="3"/>
      <c r="N13" s="3"/>
    </row>
    <row r="14" ht="15.75" customHeight="1">
      <c r="I14" s="10"/>
    </row>
    <row r="15" ht="15.75" customHeight="1">
      <c r="I15" s="10"/>
    </row>
    <row r="16" ht="15.75" customHeight="1">
      <c r="I16" s="10"/>
    </row>
    <row r="17" ht="15.75" customHeight="1">
      <c r="I17" s="10"/>
    </row>
    <row r="18" ht="15.75" customHeight="1">
      <c r="I18" s="10"/>
    </row>
    <row r="19" ht="15.75" customHeight="1">
      <c r="I19" s="10"/>
    </row>
    <row r="20" ht="15.75" customHeight="1">
      <c r="I20" s="10"/>
    </row>
    <row r="21" ht="15.75" customHeight="1">
      <c r="I21" s="10"/>
    </row>
    <row r="22" ht="15.75" customHeight="1">
      <c r="I22" s="10"/>
    </row>
    <row r="23" ht="15.75" customHeight="1">
      <c r="I23" s="10"/>
    </row>
    <row r="24" ht="15.75" customHeight="1">
      <c r="I24" s="10"/>
    </row>
    <row r="25" ht="15.75" customHeight="1">
      <c r="I25" s="10"/>
    </row>
    <row r="26" ht="15.75" customHeight="1">
      <c r="I26" s="10"/>
    </row>
    <row r="27" ht="15.75" customHeight="1">
      <c r="I27" s="10"/>
    </row>
    <row r="28" ht="15.75" customHeight="1">
      <c r="I28" s="10"/>
    </row>
    <row r="29" ht="15.75" customHeight="1">
      <c r="I29" s="10"/>
    </row>
    <row r="30" ht="15.75" customHeight="1">
      <c r="I30" s="10"/>
    </row>
    <row r="31" ht="15.75" customHeight="1">
      <c r="I31" s="10"/>
    </row>
    <row r="32" ht="15.75" customHeight="1">
      <c r="I32" s="10"/>
    </row>
    <row r="33" ht="15.75" customHeight="1">
      <c r="I33" s="10"/>
    </row>
    <row r="34" ht="15.75" customHeight="1">
      <c r="I34" s="10"/>
    </row>
    <row r="35" ht="15.75" customHeight="1">
      <c r="I35" s="10"/>
    </row>
    <row r="36" ht="15.75" customHeight="1">
      <c r="I36" s="10"/>
    </row>
    <row r="37" ht="15.75" customHeight="1">
      <c r="I37" s="10"/>
    </row>
    <row r="38" ht="15.75" customHeight="1">
      <c r="I38" s="10"/>
    </row>
    <row r="39" ht="15.75" customHeight="1">
      <c r="I39" s="10"/>
    </row>
    <row r="40" ht="15.75" customHeight="1">
      <c r="I40" s="10"/>
    </row>
    <row r="41" ht="15.75" customHeight="1">
      <c r="I41" s="10"/>
    </row>
    <row r="42" ht="15.75" customHeight="1">
      <c r="I42" s="10"/>
    </row>
    <row r="43" ht="15.75" customHeight="1">
      <c r="I43" s="10"/>
    </row>
    <row r="44" ht="15.75" customHeight="1">
      <c r="I44" s="10"/>
    </row>
    <row r="45" ht="15.75" customHeight="1">
      <c r="I45" s="10"/>
    </row>
    <row r="46" ht="15.75" customHeight="1">
      <c r="I46" s="10"/>
    </row>
    <row r="47" ht="15.75" customHeight="1">
      <c r="I47" s="10"/>
    </row>
    <row r="48" ht="15.75" customHeight="1">
      <c r="I48" s="10"/>
    </row>
    <row r="49" ht="15.75" customHeight="1">
      <c r="I49" s="10"/>
    </row>
    <row r="50" ht="15.75" customHeight="1">
      <c r="I50" s="10"/>
    </row>
    <row r="51" ht="15.75" customHeight="1">
      <c r="I51" s="10"/>
    </row>
    <row r="52" ht="15.75" customHeight="1">
      <c r="I52" s="10"/>
    </row>
    <row r="53" ht="15.75" customHeight="1">
      <c r="I53" s="10"/>
    </row>
    <row r="54" ht="15.75" customHeight="1">
      <c r="I54" s="10"/>
    </row>
    <row r="55" ht="15.75" customHeight="1">
      <c r="I55" s="10"/>
    </row>
    <row r="56" ht="15.75" customHeight="1">
      <c r="I56" s="10"/>
    </row>
    <row r="57" ht="15.75" customHeight="1">
      <c r="I57" s="10"/>
    </row>
    <row r="58" ht="15.75" customHeight="1">
      <c r="I58" s="10"/>
    </row>
    <row r="59" ht="15.75" customHeight="1">
      <c r="I59" s="10"/>
    </row>
    <row r="60" ht="15.75" customHeight="1">
      <c r="I60" s="10"/>
    </row>
    <row r="61" ht="15.75" customHeight="1">
      <c r="I61" s="10"/>
    </row>
    <row r="62" ht="15.75" customHeight="1">
      <c r="I62" s="10"/>
    </row>
    <row r="63" ht="15.75" customHeight="1">
      <c r="I63" s="10"/>
    </row>
    <row r="64" ht="15.75" customHeight="1">
      <c r="I64" s="10"/>
    </row>
    <row r="65" ht="15.75" customHeight="1">
      <c r="I65" s="10"/>
    </row>
    <row r="66" ht="15.75" customHeight="1">
      <c r="I66" s="10"/>
    </row>
    <row r="67" ht="15.75" customHeight="1">
      <c r="I67" s="10"/>
    </row>
    <row r="68" ht="15.75" customHeight="1">
      <c r="I68" s="10"/>
    </row>
    <row r="69" ht="15.75" customHeight="1">
      <c r="I69" s="10"/>
    </row>
    <row r="70" ht="15.75" customHeight="1">
      <c r="I70" s="10"/>
    </row>
    <row r="71" ht="15.75" customHeight="1">
      <c r="I71" s="10"/>
    </row>
    <row r="72" ht="15.75" customHeight="1">
      <c r="I72" s="10"/>
    </row>
    <row r="73" ht="15.75" customHeight="1">
      <c r="I73" s="10"/>
    </row>
    <row r="74" ht="15.75" customHeight="1">
      <c r="I74" s="10"/>
    </row>
    <row r="75" ht="15.75" customHeight="1">
      <c r="I75" s="10"/>
    </row>
    <row r="76" ht="15.75" customHeight="1">
      <c r="I76" s="10"/>
    </row>
    <row r="77" ht="15.75" customHeight="1">
      <c r="I77" s="10"/>
    </row>
    <row r="78" ht="15.75" customHeight="1">
      <c r="I78" s="10"/>
    </row>
    <row r="79" ht="15.75" customHeight="1">
      <c r="I79" s="10"/>
    </row>
    <row r="80" ht="15.75" customHeight="1">
      <c r="I80" s="10"/>
    </row>
    <row r="81" ht="15.75" customHeight="1">
      <c r="I81" s="10"/>
    </row>
    <row r="82" ht="15.75" customHeight="1">
      <c r="I82" s="10"/>
    </row>
    <row r="83" ht="15.75" customHeight="1">
      <c r="I83" s="10"/>
    </row>
    <row r="84" ht="15.75" customHeight="1">
      <c r="I84" s="10"/>
    </row>
    <row r="85" ht="15.75" customHeight="1">
      <c r="I85" s="10"/>
    </row>
    <row r="86" ht="15.75" customHeight="1">
      <c r="I86" s="10"/>
    </row>
    <row r="87" ht="15.75" customHeight="1">
      <c r="I87" s="10"/>
    </row>
    <row r="88" ht="15.75" customHeight="1">
      <c r="I88" s="10"/>
    </row>
    <row r="89" ht="15.75" customHeight="1">
      <c r="I89" s="10"/>
    </row>
    <row r="90" ht="15.75" customHeight="1">
      <c r="I90" s="10"/>
    </row>
    <row r="91" ht="15.75" customHeight="1">
      <c r="I91" s="10"/>
    </row>
    <row r="92" ht="15.75" customHeight="1">
      <c r="I92" s="10"/>
    </row>
    <row r="93" ht="15.75" customHeight="1">
      <c r="I93" s="10"/>
    </row>
    <row r="94" ht="15.75" customHeight="1">
      <c r="I94" s="10"/>
    </row>
    <row r="95" ht="15.75" customHeight="1">
      <c r="I95" s="10"/>
    </row>
    <row r="96" ht="15.75" customHeight="1">
      <c r="I96" s="10"/>
    </row>
    <row r="97" ht="15.75" customHeight="1">
      <c r="I97" s="10"/>
    </row>
    <row r="98" ht="15.75" customHeight="1">
      <c r="I98" s="10"/>
    </row>
    <row r="99" ht="15.75" customHeight="1">
      <c r="I99" s="10"/>
    </row>
    <row r="100" ht="15.75" customHeight="1">
      <c r="I100" s="10"/>
    </row>
    <row r="101" ht="15.75" customHeight="1">
      <c r="I101" s="10"/>
    </row>
    <row r="102" ht="15.75" customHeight="1">
      <c r="I102" s="10"/>
    </row>
    <row r="103" ht="15.75" customHeight="1">
      <c r="I103" s="10"/>
    </row>
    <row r="104" ht="15.75" customHeight="1">
      <c r="I104" s="10"/>
    </row>
    <row r="105" ht="15.75" customHeight="1">
      <c r="I105" s="10"/>
    </row>
    <row r="106" ht="15.75" customHeight="1">
      <c r="I106" s="10"/>
    </row>
    <row r="107" ht="15.75" customHeight="1">
      <c r="I107" s="10"/>
    </row>
    <row r="108" ht="15.75" customHeight="1">
      <c r="I108" s="10"/>
    </row>
    <row r="109" ht="15.75" customHeight="1">
      <c r="I109" s="10"/>
    </row>
    <row r="110" ht="15.75" customHeight="1">
      <c r="I110" s="10"/>
    </row>
    <row r="111" ht="15.75" customHeight="1">
      <c r="I111" s="10"/>
    </row>
    <row r="112" ht="15.75" customHeight="1">
      <c r="I112" s="10"/>
    </row>
    <row r="113" ht="15.75" customHeight="1">
      <c r="I113" s="10"/>
    </row>
    <row r="114" ht="15.75" customHeight="1">
      <c r="I114" s="10"/>
    </row>
    <row r="115" ht="15.75" customHeight="1">
      <c r="I115" s="10"/>
    </row>
    <row r="116" ht="15.75" customHeight="1">
      <c r="I116" s="10"/>
    </row>
    <row r="117" ht="15.75" customHeight="1">
      <c r="I117" s="10"/>
    </row>
    <row r="118" ht="15.75" customHeight="1">
      <c r="I118" s="10"/>
    </row>
    <row r="119" ht="15.75" customHeight="1">
      <c r="I119" s="10"/>
    </row>
    <row r="120" ht="15.75" customHeight="1">
      <c r="I120" s="10"/>
    </row>
    <row r="121" ht="15.75" customHeight="1">
      <c r="I121" s="10"/>
    </row>
    <row r="122" ht="15.75" customHeight="1">
      <c r="I122" s="10"/>
    </row>
    <row r="123" ht="15.75" customHeight="1">
      <c r="I123" s="10"/>
    </row>
    <row r="124" ht="15.75" customHeight="1">
      <c r="I124" s="10"/>
    </row>
    <row r="125" ht="15.75" customHeight="1">
      <c r="I125" s="10"/>
    </row>
    <row r="126" ht="15.75" customHeight="1">
      <c r="I126" s="10"/>
    </row>
    <row r="127" ht="15.75" customHeight="1">
      <c r="I127" s="10"/>
    </row>
    <row r="128" ht="15.75" customHeight="1">
      <c r="I128" s="10"/>
    </row>
    <row r="129" ht="15.75" customHeight="1">
      <c r="I129" s="10"/>
    </row>
    <row r="130" ht="15.75" customHeight="1">
      <c r="I130" s="10"/>
    </row>
    <row r="131" ht="15.75" customHeight="1">
      <c r="I131" s="10"/>
    </row>
    <row r="132" ht="15.75" customHeight="1">
      <c r="I132" s="10"/>
    </row>
    <row r="133" ht="15.75" customHeight="1">
      <c r="I133" s="10"/>
    </row>
    <row r="134" ht="15.75" customHeight="1">
      <c r="I134" s="10"/>
    </row>
    <row r="135" ht="15.75" customHeight="1">
      <c r="I135" s="10"/>
    </row>
    <row r="136" ht="15.75" customHeight="1">
      <c r="I136" s="10"/>
    </row>
    <row r="137" ht="15.75" customHeight="1">
      <c r="I137" s="10"/>
    </row>
    <row r="138" ht="15.75" customHeight="1">
      <c r="I138" s="10"/>
    </row>
    <row r="139" ht="15.75" customHeight="1">
      <c r="I139" s="10"/>
    </row>
    <row r="140" ht="15.75" customHeight="1">
      <c r="I140" s="10"/>
    </row>
    <row r="141" ht="15.75" customHeight="1">
      <c r="I141" s="10"/>
    </row>
    <row r="142" ht="15.75" customHeight="1">
      <c r="I142" s="10"/>
    </row>
    <row r="143" ht="15.75" customHeight="1">
      <c r="I143" s="10"/>
    </row>
    <row r="144" ht="15.75" customHeight="1">
      <c r="I144" s="10"/>
    </row>
    <row r="145" ht="15.75" customHeight="1">
      <c r="I145" s="10"/>
    </row>
    <row r="146" ht="15.75" customHeight="1">
      <c r="I146" s="10"/>
    </row>
    <row r="147" ht="15.75" customHeight="1">
      <c r="I147" s="10"/>
    </row>
    <row r="148" ht="15.75" customHeight="1">
      <c r="I148" s="10"/>
    </row>
    <row r="149" ht="15.75" customHeight="1">
      <c r="I149" s="10"/>
    </row>
    <row r="150" ht="15.75" customHeight="1">
      <c r="I150" s="10"/>
    </row>
    <row r="151" ht="15.75" customHeight="1">
      <c r="I151" s="10"/>
    </row>
    <row r="152" ht="15.75" customHeight="1">
      <c r="I152" s="10"/>
    </row>
    <row r="153" ht="15.75" customHeight="1">
      <c r="I153" s="10"/>
    </row>
    <row r="154" ht="15.75" customHeight="1">
      <c r="I154" s="10"/>
    </row>
    <row r="155" ht="15.75" customHeight="1">
      <c r="I155" s="10"/>
    </row>
    <row r="156" ht="15.75" customHeight="1">
      <c r="I156" s="10"/>
    </row>
    <row r="157" ht="15.75" customHeight="1">
      <c r="I157" s="10"/>
    </row>
    <row r="158" ht="15.75" customHeight="1">
      <c r="I158" s="10"/>
    </row>
    <row r="159" ht="15.75" customHeight="1">
      <c r="I159" s="10"/>
    </row>
    <row r="160" ht="15.75" customHeight="1">
      <c r="I160" s="10"/>
    </row>
    <row r="161" ht="15.75" customHeight="1">
      <c r="I161" s="10"/>
    </row>
    <row r="162" ht="15.75" customHeight="1">
      <c r="I162" s="10"/>
    </row>
    <row r="163" ht="15.75" customHeight="1">
      <c r="I163" s="10"/>
    </row>
    <row r="164" ht="15.75" customHeight="1">
      <c r="I164" s="10"/>
    </row>
    <row r="165" ht="15.75" customHeight="1">
      <c r="I165" s="10"/>
    </row>
    <row r="166" ht="15.75" customHeight="1">
      <c r="I166" s="10"/>
    </row>
    <row r="167" ht="15.75" customHeight="1">
      <c r="I167" s="10"/>
    </row>
    <row r="168" ht="15.75" customHeight="1">
      <c r="I168" s="10"/>
    </row>
    <row r="169" ht="15.75" customHeight="1">
      <c r="I169" s="10"/>
    </row>
    <row r="170" ht="15.75" customHeight="1">
      <c r="I170" s="10"/>
    </row>
    <row r="171" ht="15.75" customHeight="1">
      <c r="I171" s="10"/>
    </row>
    <row r="172" ht="15.75" customHeight="1">
      <c r="I172" s="10"/>
    </row>
    <row r="173" ht="15.75" customHeight="1">
      <c r="I173" s="10"/>
    </row>
    <row r="174" ht="15.75" customHeight="1">
      <c r="I174" s="10"/>
    </row>
    <row r="175" ht="15.75" customHeight="1">
      <c r="I175" s="10"/>
    </row>
    <row r="176" ht="15.75" customHeight="1">
      <c r="I176" s="10"/>
    </row>
    <row r="177" ht="15.75" customHeight="1">
      <c r="I177" s="10"/>
    </row>
    <row r="178" ht="15.75" customHeight="1">
      <c r="I178" s="10"/>
    </row>
    <row r="179" ht="15.75" customHeight="1">
      <c r="I179" s="10"/>
    </row>
    <row r="180" ht="15.75" customHeight="1">
      <c r="I180" s="10"/>
    </row>
    <row r="181" ht="15.75" customHeight="1">
      <c r="I181" s="10"/>
    </row>
    <row r="182" ht="15.75" customHeight="1">
      <c r="I182" s="10"/>
    </row>
    <row r="183" ht="15.75" customHeight="1">
      <c r="I183" s="10"/>
    </row>
    <row r="184" ht="15.75" customHeight="1">
      <c r="I184" s="10"/>
    </row>
    <row r="185" ht="15.75" customHeight="1">
      <c r="I185" s="10"/>
    </row>
    <row r="186" ht="15.75" customHeight="1">
      <c r="I186" s="10"/>
    </row>
    <row r="187" ht="15.75" customHeight="1">
      <c r="I187" s="10"/>
    </row>
    <row r="188" ht="15.75" customHeight="1">
      <c r="I188" s="10"/>
    </row>
    <row r="189" ht="15.75" customHeight="1">
      <c r="I189" s="10"/>
    </row>
    <row r="190" ht="15.75" customHeight="1">
      <c r="I190" s="10"/>
    </row>
    <row r="191" ht="15.75" customHeight="1">
      <c r="I191" s="10"/>
    </row>
    <row r="192" ht="15.75" customHeight="1">
      <c r="I192" s="10"/>
    </row>
    <row r="193" ht="15.75" customHeight="1">
      <c r="I193" s="10"/>
    </row>
    <row r="194" ht="15.75" customHeight="1">
      <c r="I194" s="10"/>
    </row>
    <row r="195" ht="15.75" customHeight="1">
      <c r="I195" s="10"/>
    </row>
    <row r="196" ht="15.75" customHeight="1">
      <c r="I196" s="10"/>
    </row>
    <row r="197" ht="15.75" customHeight="1">
      <c r="I197" s="10"/>
    </row>
    <row r="198" ht="15.75" customHeight="1">
      <c r="I198" s="10"/>
    </row>
    <row r="199" ht="15.75" customHeight="1">
      <c r="I199" s="10"/>
    </row>
    <row r="200" ht="15.75" customHeight="1">
      <c r="I200" s="10"/>
    </row>
    <row r="201" ht="15.75" customHeight="1">
      <c r="I201" s="10"/>
    </row>
    <row r="202" ht="15.75" customHeight="1">
      <c r="I202" s="10"/>
    </row>
    <row r="203" ht="15.75" customHeight="1">
      <c r="I203" s="10"/>
    </row>
    <row r="204" ht="15.75" customHeight="1">
      <c r="I204" s="10"/>
    </row>
    <row r="205" ht="15.75" customHeight="1">
      <c r="I205" s="10"/>
    </row>
    <row r="206" ht="15.75" customHeight="1">
      <c r="I206" s="10"/>
    </row>
    <row r="207" ht="15.75" customHeight="1">
      <c r="I207" s="10"/>
    </row>
    <row r="208" ht="15.75" customHeight="1">
      <c r="I208" s="10"/>
    </row>
    <row r="209" ht="15.75" customHeight="1">
      <c r="I209" s="10"/>
    </row>
    <row r="210" ht="15.75" customHeight="1">
      <c r="I210" s="10"/>
    </row>
    <row r="211" ht="15.75" customHeight="1">
      <c r="I211" s="10"/>
    </row>
    <row r="212" ht="15.75" customHeight="1">
      <c r="I212" s="10"/>
    </row>
    <row r="213" ht="15.75" customHeight="1">
      <c r="I213" s="10"/>
    </row>
    <row r="214" ht="15.75" customHeight="1">
      <c r="I214" s="10"/>
    </row>
    <row r="215" ht="15.75" customHeight="1">
      <c r="I215" s="10"/>
    </row>
    <row r="216" ht="15.75" customHeight="1">
      <c r="I216" s="10"/>
    </row>
    <row r="217" ht="15.75" customHeight="1">
      <c r="I217" s="10"/>
    </row>
    <row r="218" ht="15.75" customHeight="1">
      <c r="I218" s="10"/>
    </row>
    <row r="219" ht="15.75" customHeight="1">
      <c r="I219" s="10"/>
    </row>
    <row r="220" ht="15.75" customHeight="1">
      <c r="I220" s="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